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\Development\back_end_projects\java\DaElectric\data\final\input\"/>
    </mc:Choice>
  </mc:AlternateContent>
  <xr:revisionPtr revIDLastSave="0" documentId="13_ncr:1_{025A189A-9846-4935-8A1C-A840B5243C55}" xr6:coauthVersionLast="47" xr6:coauthVersionMax="47" xr10:uidLastSave="{00000000-0000-0000-0000-000000000000}"/>
  <bookViews>
    <workbookView xWindow="-98" yWindow="-98" windowWidth="21795" windowHeight="11625" xr2:uid="{1CF578A3-021B-4651-B9BD-E4E2F9F1E7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1" l="1"/>
  <c r="D58" i="1"/>
  <c r="D57" i="1"/>
  <c r="G50" i="1"/>
  <c r="I50" i="1" s="1"/>
  <c r="E71" i="1"/>
  <c r="G71" i="1" s="1"/>
  <c r="I71" i="1" s="1"/>
  <c r="E70" i="1"/>
  <c r="G70" i="1" s="1"/>
  <c r="I70" i="1" s="1"/>
  <c r="E66" i="1"/>
  <c r="G66" i="1" s="1"/>
  <c r="I66" i="1" s="1"/>
  <c r="E64" i="1"/>
  <c r="G64" i="1" s="1"/>
  <c r="I64" i="1" s="1"/>
  <c r="E63" i="1"/>
  <c r="G63" i="1" s="1"/>
  <c r="I63" i="1" s="1"/>
  <c r="E62" i="1"/>
  <c r="G62" i="1" s="1"/>
  <c r="I62" i="1" s="1"/>
  <c r="E58" i="1"/>
  <c r="G58" i="1" s="1"/>
  <c r="I58" i="1" s="1"/>
  <c r="E57" i="1"/>
  <c r="G57" i="1" s="1"/>
  <c r="I57" i="1" s="1"/>
  <c r="E56" i="1"/>
  <c r="G56" i="1" s="1"/>
  <c r="I56" i="1" s="1"/>
  <c r="E49" i="1"/>
  <c r="G49" i="1" s="1"/>
  <c r="I49" i="1" s="1"/>
  <c r="E48" i="1"/>
  <c r="G48" i="1" s="1"/>
  <c r="I48" i="1" s="1"/>
  <c r="E47" i="1"/>
  <c r="G47" i="1" s="1"/>
  <c r="I47" i="1" s="1"/>
  <c r="E46" i="1"/>
  <c r="G46" i="1" s="1"/>
  <c r="I46" i="1" s="1"/>
  <c r="E41" i="1"/>
  <c r="G41" i="1" s="1"/>
  <c r="I41" i="1" s="1"/>
  <c r="E40" i="1"/>
  <c r="G40" i="1" s="1"/>
  <c r="I40" i="1" s="1"/>
  <c r="E39" i="1"/>
  <c r="G39" i="1" s="1"/>
  <c r="I39" i="1" s="1"/>
  <c r="E33" i="1"/>
  <c r="G33" i="1" s="1"/>
  <c r="I33" i="1" s="1"/>
  <c r="E32" i="1"/>
  <c r="G32" i="1" s="1"/>
  <c r="I32" i="1" s="1"/>
  <c r="E31" i="1"/>
  <c r="G31" i="1" s="1"/>
  <c r="I31" i="1" s="1"/>
  <c r="E30" i="1"/>
  <c r="G30" i="1" s="1"/>
  <c r="I30" i="1" s="1"/>
  <c r="E25" i="1"/>
  <c r="G25" i="1" s="1"/>
  <c r="I25" i="1" s="1"/>
  <c r="E24" i="1"/>
  <c r="G24" i="1" s="1"/>
  <c r="I24" i="1" s="1"/>
  <c r="E23" i="1"/>
  <c r="G23" i="1" s="1"/>
  <c r="I23" i="1" s="1"/>
  <c r="E17" i="1"/>
  <c r="G17" i="1" s="1"/>
  <c r="I17" i="1" s="1"/>
  <c r="E16" i="1"/>
  <c r="G16" i="1" s="1"/>
  <c r="I16" i="1" s="1"/>
  <c r="E15" i="1"/>
  <c r="G15" i="1" s="1"/>
  <c r="I15" i="1" s="1"/>
  <c r="E14" i="1"/>
  <c r="G14" i="1" s="1"/>
  <c r="I14" i="1" s="1"/>
  <c r="E12" i="1"/>
  <c r="G12" i="1" s="1"/>
  <c r="I12" i="1" s="1"/>
  <c r="E9" i="1"/>
  <c r="G9" i="1" s="1"/>
  <c r="I9" i="1" s="1"/>
  <c r="E8" i="1"/>
  <c r="G8" i="1" s="1"/>
  <c r="I8" i="1" s="1"/>
  <c r="E7" i="1"/>
  <c r="G7" i="1" s="1"/>
  <c r="I7" i="1" s="1"/>
  <c r="E3" i="1"/>
  <c r="G3" i="1" s="1"/>
  <c r="I3" i="1" s="1"/>
  <c r="E4" i="1"/>
  <c r="G4" i="1" s="1"/>
  <c r="I4" i="1" s="1"/>
  <c r="E5" i="1"/>
  <c r="G5" i="1" s="1"/>
  <c r="I5" i="1" s="1"/>
  <c r="E6" i="1"/>
  <c r="G6" i="1" s="1"/>
  <c r="I6" i="1" s="1"/>
  <c r="E10" i="1"/>
  <c r="G10" i="1" s="1"/>
  <c r="I10" i="1" s="1"/>
  <c r="E11" i="1"/>
  <c r="G11" i="1" s="1"/>
  <c r="I11" i="1" s="1"/>
  <c r="E13" i="1"/>
  <c r="G13" i="1" s="1"/>
  <c r="I13" i="1" s="1"/>
  <c r="E18" i="1"/>
  <c r="G18" i="1" s="1"/>
  <c r="I18" i="1" s="1"/>
  <c r="E19" i="1"/>
  <c r="G19" i="1" s="1"/>
  <c r="I19" i="1" s="1"/>
  <c r="E20" i="1"/>
  <c r="G20" i="1" s="1"/>
  <c r="I20" i="1" s="1"/>
  <c r="E21" i="1"/>
  <c r="G21" i="1" s="1"/>
  <c r="I21" i="1" s="1"/>
  <c r="E22" i="1"/>
  <c r="G22" i="1" s="1"/>
  <c r="I22" i="1" s="1"/>
  <c r="E26" i="1"/>
  <c r="G26" i="1" s="1"/>
  <c r="I26" i="1" s="1"/>
  <c r="E27" i="1"/>
  <c r="G27" i="1" s="1"/>
  <c r="I27" i="1" s="1"/>
  <c r="E28" i="1"/>
  <c r="G28" i="1" s="1"/>
  <c r="I28" i="1" s="1"/>
  <c r="E29" i="1"/>
  <c r="G29" i="1" s="1"/>
  <c r="I29" i="1" s="1"/>
  <c r="E34" i="1"/>
  <c r="G34" i="1" s="1"/>
  <c r="I34" i="1" s="1"/>
  <c r="E35" i="1"/>
  <c r="G35" i="1" s="1"/>
  <c r="I35" i="1" s="1"/>
  <c r="E36" i="1"/>
  <c r="G36" i="1" s="1"/>
  <c r="I36" i="1" s="1"/>
  <c r="E37" i="1"/>
  <c r="G37" i="1" s="1"/>
  <c r="I37" i="1" s="1"/>
  <c r="E38" i="1"/>
  <c r="G38" i="1" s="1"/>
  <c r="I38" i="1" s="1"/>
  <c r="E42" i="1"/>
  <c r="G42" i="1" s="1"/>
  <c r="I42" i="1" s="1"/>
  <c r="E43" i="1"/>
  <c r="G43" i="1" s="1"/>
  <c r="I43" i="1" s="1"/>
  <c r="E44" i="1"/>
  <c r="G44" i="1" s="1"/>
  <c r="I44" i="1" s="1"/>
  <c r="E45" i="1"/>
  <c r="G45" i="1" s="1"/>
  <c r="I45" i="1" s="1"/>
  <c r="E50" i="1"/>
  <c r="E51" i="1"/>
  <c r="G51" i="1" s="1"/>
  <c r="I51" i="1" s="1"/>
  <c r="E52" i="1"/>
  <c r="G52" i="1" s="1"/>
  <c r="I52" i="1" s="1"/>
  <c r="E53" i="1"/>
  <c r="G53" i="1" s="1"/>
  <c r="I53" i="1" s="1"/>
  <c r="E54" i="1"/>
  <c r="G54" i="1" s="1"/>
  <c r="I54" i="1" s="1"/>
  <c r="E55" i="1"/>
  <c r="G55" i="1" s="1"/>
  <c r="I55" i="1" s="1"/>
  <c r="E59" i="1"/>
  <c r="G59" i="1" s="1"/>
  <c r="I59" i="1" s="1"/>
  <c r="E60" i="1"/>
  <c r="G60" i="1" s="1"/>
  <c r="I60" i="1" s="1"/>
  <c r="E61" i="1"/>
  <c r="G61" i="1" s="1"/>
  <c r="I61" i="1" s="1"/>
  <c r="E65" i="1"/>
  <c r="G65" i="1" s="1"/>
  <c r="I65" i="1" s="1"/>
  <c r="E67" i="1"/>
  <c r="G67" i="1" s="1"/>
  <c r="I67" i="1" s="1"/>
  <c r="E68" i="1"/>
  <c r="G68" i="1" s="1"/>
  <c r="I68" i="1" s="1"/>
  <c r="E69" i="1"/>
  <c r="G69" i="1" s="1"/>
  <c r="I69" i="1" s="1"/>
  <c r="E2" i="1"/>
  <c r="G2" i="1" s="1"/>
  <c r="I2" i="1" s="1"/>
</calcChain>
</file>

<file path=xl/sharedStrings.xml><?xml version="1.0" encoding="utf-8"?>
<sst xmlns="http://schemas.openxmlformats.org/spreadsheetml/2006/main" count="79" uniqueCount="78">
  <si>
    <t>STT</t>
  </si>
  <si>
    <t>Chỉ số cũ</t>
  </si>
  <si>
    <t>Chỉ số mới</t>
  </si>
  <si>
    <t>Số trong tháng</t>
  </si>
  <si>
    <t>Đơn giá</t>
  </si>
  <si>
    <t>Thành tiền</t>
  </si>
  <si>
    <t>Tổng thanh toán</t>
  </si>
  <si>
    <t>Họ Tên</t>
  </si>
  <si>
    <t>Công ghi điện</t>
  </si>
  <si>
    <t>Bình Cẩm Bình</t>
  </si>
  <si>
    <t>Trần Thị Tánh</t>
  </si>
  <si>
    <t>Định Đệ</t>
  </si>
  <si>
    <t>PHổ H' Neng</t>
  </si>
  <si>
    <t>Trần Công Viên</t>
  </si>
  <si>
    <t>Bích</t>
  </si>
  <si>
    <t xml:space="preserve">Việt </t>
  </si>
  <si>
    <t>Phạm Khương</t>
  </si>
  <si>
    <t>Tư Hồng</t>
  </si>
  <si>
    <t>Lâm Thanh Tùng</t>
  </si>
  <si>
    <t>Lưu Minh Hoàng</t>
  </si>
  <si>
    <t>Nguyễn Tấn Đường</t>
  </si>
  <si>
    <t>Nguyễn Văn Mạnh</t>
  </si>
  <si>
    <t>Thái Ninh Đậu</t>
  </si>
  <si>
    <t>Phạm Tấn Lập</t>
  </si>
  <si>
    <t>Lê Lực</t>
  </si>
  <si>
    <t>Danh Đường</t>
  </si>
  <si>
    <t>Đệ</t>
  </si>
  <si>
    <t>Quí</t>
  </si>
  <si>
    <t>Tuấn điệu (tâm)</t>
  </si>
  <si>
    <t>Chín Hoàng</t>
  </si>
  <si>
    <t>Mỹ</t>
  </si>
  <si>
    <t>Thảo</t>
  </si>
  <si>
    <t>Cảnh</t>
  </si>
  <si>
    <t>Rim</t>
  </si>
  <si>
    <t>Lân</t>
  </si>
  <si>
    <t>Trang Hạng</t>
  </si>
  <si>
    <t>Trần Văn Hương</t>
  </si>
  <si>
    <t>Lâm Văn Tiến</t>
  </si>
  <si>
    <t>Phạm Đồng</t>
  </si>
  <si>
    <t>Hà Nam</t>
  </si>
  <si>
    <t>Thái Ngọc Hoàng</t>
  </si>
  <si>
    <t>Khang</t>
  </si>
  <si>
    <t>Thái Ngọc Hoàng nhà</t>
  </si>
  <si>
    <t>Trần Minh Vương nhà</t>
  </si>
  <si>
    <t>Lâm Thanh Huynh (bộ)</t>
  </si>
  <si>
    <t>Thinh</t>
  </si>
  <si>
    <t>Trần Minh Vương</t>
  </si>
  <si>
    <t>Trần Hữu Công</t>
  </si>
  <si>
    <t>Phan Đình Sỹ</t>
  </si>
  <si>
    <t>Thạch</t>
  </si>
  <si>
    <t>Nguyễn Văn Huy</t>
  </si>
  <si>
    <t>Trần Văn Hùng</t>
  </si>
  <si>
    <t>Hòa CA</t>
  </si>
  <si>
    <t>Nguyễn Xinh Tính</t>
  </si>
  <si>
    <t>Vĩnh</t>
  </si>
  <si>
    <t>Tuyền</t>
  </si>
  <si>
    <t>Trà Thị Mỹ Hạnh</t>
  </si>
  <si>
    <t>Sang</t>
  </si>
  <si>
    <t>Phan Đình Phùng</t>
  </si>
  <si>
    <t>Trần Văn Cương(vĩnh)</t>
  </si>
  <si>
    <t>Lâm Văn Bộ 2</t>
  </si>
  <si>
    <t>Hùng Tuấn</t>
  </si>
  <si>
    <t>Hoan</t>
  </si>
  <si>
    <t>chú Toàn</t>
  </si>
  <si>
    <t>Vĩnh 2</t>
  </si>
  <si>
    <t>Thái Ninh Đậu 2</t>
  </si>
  <si>
    <t>Khang nhà</t>
  </si>
  <si>
    <t>Nguyễn Văn Thìn</t>
  </si>
  <si>
    <t>Trần Thị Viếng</t>
  </si>
  <si>
    <t>Minh  ( nhà)</t>
  </si>
  <si>
    <t xml:space="preserve"> Đức rèn</t>
  </si>
  <si>
    <t>Nguyễn Văn PHú</t>
  </si>
  <si>
    <t>An</t>
  </si>
  <si>
    <t>phận</t>
  </si>
  <si>
    <t>Sang 2</t>
  </si>
  <si>
    <t>Sáu Lực 2</t>
  </si>
  <si>
    <t xml:space="preserve">Sáu Lực </t>
  </si>
  <si>
    <t>Thái Ngọc Hoà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</si>
</sst>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  <xf numFmtId="164" fontId="2" fillId="0" borderId="0" xfId="1" applyNumberFormat="1" applyFont="1"/>
    <xf numFmtId="41" fontId="0" fillId="0" borderId="1" xfId="0" applyNumberFormat="1" applyBorder="1"/>
    <xf numFmtId="164" fontId="0" fillId="0" borderId="0" xfId="0" applyNumberFormat="1"/>
    <xf numFmtId="164" fontId="2" fillId="0" borderId="1" xfId="0" applyNumberFormat="1" applyFont="1" applyBorder="1"/>
    <xf numFmtId="0" fontId="0" fillId="0" borderId="2" xfId="0" applyBorder="1"/>
    <xf numFmtId="4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9876-7744-4322-9AD5-05539167F3DA}">
  <dimension ref="A1:I72"/>
  <sheetViews>
    <sheetView tabSelected="1" zoomScale="95" zoomScaleNormal="74" workbookViewId="0">
      <selection activeCell="I11" sqref="I11"/>
    </sheetView>
  </sheetViews>
  <sheetFormatPr defaultRowHeight="14.25" x14ac:dyDescent="0.45"/>
  <cols>
    <col min="1" max="1" width="3.6640625" bestFit="1" customWidth="1"/>
    <col min="2" max="2" width="17.53125" bestFit="1" customWidth="1"/>
    <col min="3" max="3" width="10.19921875" bestFit="1" customWidth="1"/>
    <col min="4" max="4" width="17.796875" customWidth="1"/>
    <col min="5" max="5" width="15.796875" customWidth="1"/>
    <col min="7" max="7" width="9.86328125" bestFit="1" customWidth="1"/>
    <col min="8" max="8" width="10.19921875" bestFit="1" customWidth="1"/>
    <col min="9" max="9" width="14.33203125" customWidth="1"/>
  </cols>
  <sheetData>
    <row r="1" spans="1:9" ht="23.25" x14ac:dyDescent="0.45">
      <c r="A1" s="1" t="s">
        <v>0</v>
      </c>
      <c r="B1" s="1" t="s">
        <v>7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6</v>
      </c>
    </row>
    <row r="2" spans="1:9" x14ac:dyDescent="0.45">
      <c r="A2" s="4">
        <v>1</v>
      </c>
      <c r="B2" s="3" t="s">
        <v>9</v>
      </c>
      <c r="C2" s="3">
        <v>37504</v>
      </c>
      <c r="D2" s="3">
        <v>37504</v>
      </c>
      <c r="E2" s="4">
        <f>D2-C2</f>
        <v>0</v>
      </c>
      <c r="F2" s="6">
        <v>2971</v>
      </c>
      <c r="G2" s="7">
        <f>E2*F2</f>
        <v>0</v>
      </c>
      <c r="H2" s="4">
        <v>25000</v>
      </c>
      <c r="I2" s="5">
        <f>G2+H2</f>
        <v>25000</v>
      </c>
    </row>
    <row r="3" spans="1:9" x14ac:dyDescent="0.45">
      <c r="A3" s="4">
        <v>2</v>
      </c>
      <c r="B3" s="3" t="s">
        <v>10</v>
      </c>
      <c r="C3" s="3">
        <v>14139</v>
      </c>
      <c r="D3" s="3">
        <v>14239</v>
      </c>
      <c r="E3" s="4">
        <f t="shared" ref="E3:E66" si="0">D3-C3</f>
        <v>100</v>
      </c>
      <c r="F3" s="6">
        <v>2971</v>
      </c>
      <c r="G3" s="7">
        <f t="shared" ref="G3:G66" si="1">E3*F3</f>
        <v>297100</v>
      </c>
      <c r="H3" s="4">
        <v>25000</v>
      </c>
      <c r="I3" s="5">
        <f t="shared" ref="I3:I66" si="2">G3+H3</f>
        <v>322100</v>
      </c>
    </row>
    <row r="4" spans="1:9" x14ac:dyDescent="0.45">
      <c r="A4" s="4">
        <v>3</v>
      </c>
      <c r="B4" s="3" t="s">
        <v>11</v>
      </c>
      <c r="C4" s="3">
        <v>1637</v>
      </c>
      <c r="D4" s="3">
        <v>1637</v>
      </c>
      <c r="E4" s="4">
        <f t="shared" si="0"/>
        <v>0</v>
      </c>
      <c r="F4" s="6">
        <v>2971</v>
      </c>
      <c r="G4" s="7">
        <f t="shared" si="1"/>
        <v>0</v>
      </c>
      <c r="H4" s="4">
        <v>25000</v>
      </c>
      <c r="I4" s="5">
        <f t="shared" si="2"/>
        <v>25000</v>
      </c>
    </row>
    <row r="5" spans="1:9" x14ac:dyDescent="0.45">
      <c r="A5" s="4">
        <v>4</v>
      </c>
      <c r="B5" s="3" t="s">
        <v>67</v>
      </c>
      <c r="C5" s="3">
        <v>688</v>
      </c>
      <c r="D5" s="3">
        <v>688</v>
      </c>
      <c r="E5" s="4">
        <f t="shared" si="0"/>
        <v>0</v>
      </c>
      <c r="F5" s="6">
        <v>2971</v>
      </c>
      <c r="G5" s="7">
        <f t="shared" si="1"/>
        <v>0</v>
      </c>
      <c r="H5" s="4">
        <v>25000</v>
      </c>
      <c r="I5" s="5">
        <f t="shared" si="2"/>
        <v>25000</v>
      </c>
    </row>
    <row r="6" spans="1:9" x14ac:dyDescent="0.45">
      <c r="A6" s="4">
        <v>5</v>
      </c>
      <c r="B6" s="3" t="s">
        <v>12</v>
      </c>
      <c r="C6" s="3">
        <v>30408</v>
      </c>
      <c r="D6" s="3">
        <v>30428</v>
      </c>
      <c r="E6" s="4">
        <f t="shared" si="0"/>
        <v>20</v>
      </c>
      <c r="F6" s="6">
        <v>2971</v>
      </c>
      <c r="G6" s="7">
        <f t="shared" si="1"/>
        <v>59420</v>
      </c>
      <c r="H6" s="4">
        <v>25000</v>
      </c>
      <c r="I6" s="5">
        <f t="shared" si="2"/>
        <v>84420</v>
      </c>
    </row>
    <row r="7" spans="1:9" x14ac:dyDescent="0.45">
      <c r="A7" s="4">
        <v>6</v>
      </c>
      <c r="B7" s="3" t="s">
        <v>68</v>
      </c>
      <c r="C7" s="3">
        <v>11333</v>
      </c>
      <c r="D7" s="3">
        <v>11826</v>
      </c>
      <c r="E7" s="4">
        <f t="shared" si="0"/>
        <v>493</v>
      </c>
      <c r="F7" s="6">
        <v>2971</v>
      </c>
      <c r="G7" s="7">
        <f t="shared" si="1"/>
        <v>1464703</v>
      </c>
      <c r="H7" s="4">
        <v>25000</v>
      </c>
      <c r="I7" s="5">
        <f t="shared" si="2"/>
        <v>1489703</v>
      </c>
    </row>
    <row r="8" spans="1:9" x14ac:dyDescent="0.45">
      <c r="A8" s="4">
        <v>7</v>
      </c>
      <c r="B8" s="3" t="s">
        <v>13</v>
      </c>
      <c r="C8" s="3">
        <v>18310</v>
      </c>
      <c r="D8" s="3">
        <v>18375</v>
      </c>
      <c r="E8" s="4">
        <f t="shared" si="0"/>
        <v>65</v>
      </c>
      <c r="F8" s="6">
        <v>2971</v>
      </c>
      <c r="G8" s="7">
        <f t="shared" si="1"/>
        <v>193115</v>
      </c>
      <c r="H8" s="4">
        <v>25000</v>
      </c>
      <c r="I8" s="5">
        <f t="shared" si="2"/>
        <v>218115</v>
      </c>
    </row>
    <row r="9" spans="1:9" x14ac:dyDescent="0.45">
      <c r="A9" s="4">
        <v>8</v>
      </c>
      <c r="B9" s="3" t="s">
        <v>14</v>
      </c>
      <c r="C9" s="3">
        <v>45017</v>
      </c>
      <c r="D9" s="3">
        <v>45017</v>
      </c>
      <c r="E9" s="4">
        <f t="shared" si="0"/>
        <v>0</v>
      </c>
      <c r="F9" s="6">
        <v>2971</v>
      </c>
      <c r="G9" s="7">
        <f t="shared" si="1"/>
        <v>0</v>
      </c>
      <c r="H9" s="4">
        <v>25000</v>
      </c>
      <c r="I9" s="5">
        <f t="shared" si="2"/>
        <v>25000</v>
      </c>
    </row>
    <row r="10" spans="1:9" x14ac:dyDescent="0.45">
      <c r="A10" s="4">
        <v>9</v>
      </c>
      <c r="B10" s="3" t="s">
        <v>64</v>
      </c>
      <c r="C10" s="3">
        <v>1469</v>
      </c>
      <c r="D10" s="3">
        <v>1521</v>
      </c>
      <c r="E10" s="4">
        <f t="shared" si="0"/>
        <v>52</v>
      </c>
      <c r="F10" s="6">
        <v>2971</v>
      </c>
      <c r="G10" s="7">
        <f t="shared" si="1"/>
        <v>154492</v>
      </c>
      <c r="H10" s="4">
        <v>25000</v>
      </c>
      <c r="I10" s="5">
        <f t="shared" si="2"/>
        <v>179492</v>
      </c>
    </row>
    <row r="11" spans="1:9" x14ac:dyDescent="0.45">
      <c r="A11" s="4">
        <v>10</v>
      </c>
      <c r="B11" s="3" t="s">
        <v>73</v>
      </c>
      <c r="C11" s="3">
        <v>759</v>
      </c>
      <c r="D11" s="3">
        <v>874</v>
      </c>
      <c r="E11" s="4">
        <f t="shared" si="0"/>
        <v>115</v>
      </c>
      <c r="F11" s="6">
        <v>2971</v>
      </c>
      <c r="G11" s="7">
        <f t="shared" si="1"/>
        <v>341665</v>
      </c>
      <c r="H11" s="4">
        <v>25000</v>
      </c>
      <c r="I11" s="5">
        <f t="shared" si="2"/>
        <v>366665</v>
      </c>
    </row>
    <row r="12" spans="1:9" x14ac:dyDescent="0.45">
      <c r="A12" s="4">
        <v>11</v>
      </c>
      <c r="B12" s="3" t="s">
        <v>15</v>
      </c>
      <c r="C12" s="3">
        <v>16953</v>
      </c>
      <c r="D12" s="3">
        <v>17103</v>
      </c>
      <c r="E12" s="4">
        <f t="shared" si="0"/>
        <v>150</v>
      </c>
      <c r="F12" s="6">
        <v>2971</v>
      </c>
      <c r="G12" s="7">
        <f t="shared" si="1"/>
        <v>445650</v>
      </c>
      <c r="H12" s="4">
        <v>25000</v>
      </c>
      <c r="I12" s="5">
        <f t="shared" si="2"/>
        <v>470650</v>
      </c>
    </row>
    <row r="13" spans="1:9" x14ac:dyDescent="0.45">
      <c r="A13" s="4">
        <v>12</v>
      </c>
      <c r="B13" s="3" t="s">
        <v>16</v>
      </c>
      <c r="C13" s="3">
        <v>31728</v>
      </c>
      <c r="D13" s="3">
        <v>31829</v>
      </c>
      <c r="E13" s="4">
        <f t="shared" si="0"/>
        <v>101</v>
      </c>
      <c r="F13" s="6">
        <v>2971</v>
      </c>
      <c r="G13" s="7">
        <f t="shared" si="1"/>
        <v>300071</v>
      </c>
      <c r="H13" s="4">
        <v>25000</v>
      </c>
      <c r="I13" s="5">
        <f t="shared" si="2"/>
        <v>325071</v>
      </c>
    </row>
    <row r="14" spans="1:9" x14ac:dyDescent="0.45">
      <c r="A14" s="4">
        <v>13</v>
      </c>
      <c r="B14" s="3" t="s">
        <v>17</v>
      </c>
      <c r="C14" s="3">
        <v>3765</v>
      </c>
      <c r="D14" s="3">
        <v>3780</v>
      </c>
      <c r="E14" s="4">
        <f t="shared" si="0"/>
        <v>15</v>
      </c>
      <c r="F14" s="6">
        <v>2971</v>
      </c>
      <c r="G14" s="7">
        <f t="shared" si="1"/>
        <v>44565</v>
      </c>
      <c r="H14" s="4">
        <v>25000</v>
      </c>
      <c r="I14" s="5">
        <f t="shared" si="2"/>
        <v>69565</v>
      </c>
    </row>
    <row r="15" spans="1:9" x14ac:dyDescent="0.45">
      <c r="A15" s="4">
        <v>14</v>
      </c>
      <c r="B15" s="3" t="s">
        <v>18</v>
      </c>
      <c r="C15" s="3">
        <v>11976</v>
      </c>
      <c r="D15" s="3">
        <v>11990</v>
      </c>
      <c r="E15" s="4">
        <f t="shared" si="0"/>
        <v>14</v>
      </c>
      <c r="F15" s="6">
        <v>2971</v>
      </c>
      <c r="G15" s="7">
        <f t="shared" si="1"/>
        <v>41594</v>
      </c>
      <c r="H15" s="4">
        <v>25000</v>
      </c>
      <c r="I15" s="5">
        <f t="shared" si="2"/>
        <v>66594</v>
      </c>
    </row>
    <row r="16" spans="1:9" x14ac:dyDescent="0.45">
      <c r="A16" s="4">
        <v>15</v>
      </c>
      <c r="B16" s="3" t="s">
        <v>19</v>
      </c>
      <c r="C16" s="3">
        <v>7628</v>
      </c>
      <c r="D16" s="3">
        <v>7628</v>
      </c>
      <c r="E16" s="4">
        <f t="shared" si="0"/>
        <v>0</v>
      </c>
      <c r="F16" s="6">
        <v>2971</v>
      </c>
      <c r="G16" s="7">
        <f t="shared" si="1"/>
        <v>0</v>
      </c>
      <c r="H16" s="4">
        <v>25000</v>
      </c>
      <c r="I16" s="5">
        <f t="shared" si="2"/>
        <v>25000</v>
      </c>
    </row>
    <row r="17" spans="1:9" x14ac:dyDescent="0.45">
      <c r="A17" s="4">
        <v>16</v>
      </c>
      <c r="B17" s="3" t="s">
        <v>20</v>
      </c>
      <c r="C17" s="3">
        <v>11484</v>
      </c>
      <c r="D17" s="3">
        <v>11484</v>
      </c>
      <c r="E17" s="4">
        <f t="shared" si="0"/>
        <v>0</v>
      </c>
      <c r="F17" s="6">
        <v>2971</v>
      </c>
      <c r="G17" s="7">
        <f t="shared" si="1"/>
        <v>0</v>
      </c>
      <c r="H17" s="4">
        <v>25000</v>
      </c>
      <c r="I17" s="5">
        <f t="shared" si="2"/>
        <v>25000</v>
      </c>
    </row>
    <row r="18" spans="1:9" x14ac:dyDescent="0.45">
      <c r="A18" s="4">
        <v>17</v>
      </c>
      <c r="B18" s="3" t="s">
        <v>21</v>
      </c>
      <c r="C18" s="3">
        <v>2528</v>
      </c>
      <c r="D18" s="3">
        <v>2528</v>
      </c>
      <c r="E18" s="4">
        <f t="shared" si="0"/>
        <v>0</v>
      </c>
      <c r="F18" s="6">
        <v>2971</v>
      </c>
      <c r="G18" s="7">
        <f t="shared" si="1"/>
        <v>0</v>
      </c>
      <c r="H18" s="4">
        <v>25000</v>
      </c>
      <c r="I18" s="5">
        <f t="shared" si="2"/>
        <v>25000</v>
      </c>
    </row>
    <row r="19" spans="1:9" x14ac:dyDescent="0.45">
      <c r="A19" s="4">
        <v>18</v>
      </c>
      <c r="B19" s="3" t="s">
        <v>22</v>
      </c>
      <c r="C19" s="3">
        <v>8599</v>
      </c>
      <c r="D19" s="3">
        <v>8646</v>
      </c>
      <c r="E19" s="4">
        <f t="shared" si="0"/>
        <v>47</v>
      </c>
      <c r="F19" s="6">
        <v>2971</v>
      </c>
      <c r="G19" s="7">
        <f t="shared" si="1"/>
        <v>139637</v>
      </c>
      <c r="H19" s="4">
        <v>25000</v>
      </c>
      <c r="I19" s="5">
        <f t="shared" si="2"/>
        <v>164637</v>
      </c>
    </row>
    <row r="20" spans="1:9" x14ac:dyDescent="0.45">
      <c r="A20" s="4">
        <v>19</v>
      </c>
      <c r="B20" s="3" t="s">
        <v>23</v>
      </c>
      <c r="C20" s="3">
        <v>9888</v>
      </c>
      <c r="D20" s="3">
        <v>9897</v>
      </c>
      <c r="E20" s="4">
        <f t="shared" si="0"/>
        <v>9</v>
      </c>
      <c r="F20" s="6">
        <v>2971</v>
      </c>
      <c r="G20" s="7">
        <f t="shared" si="1"/>
        <v>26739</v>
      </c>
      <c r="H20" s="4">
        <v>25000</v>
      </c>
      <c r="I20" s="5">
        <f t="shared" si="2"/>
        <v>51739</v>
      </c>
    </row>
    <row r="21" spans="1:9" x14ac:dyDescent="0.45">
      <c r="A21" s="4">
        <v>20</v>
      </c>
      <c r="B21" s="3" t="s">
        <v>24</v>
      </c>
      <c r="C21" s="3">
        <v>7278</v>
      </c>
      <c r="D21" s="3">
        <v>7282</v>
      </c>
      <c r="E21" s="4">
        <f t="shared" si="0"/>
        <v>4</v>
      </c>
      <c r="F21" s="6">
        <v>2971</v>
      </c>
      <c r="G21" s="7">
        <f t="shared" si="1"/>
        <v>11884</v>
      </c>
      <c r="H21" s="4">
        <v>25000</v>
      </c>
      <c r="I21" s="5">
        <f t="shared" si="2"/>
        <v>36884</v>
      </c>
    </row>
    <row r="22" spans="1:9" x14ac:dyDescent="0.45">
      <c r="A22" s="4">
        <v>21</v>
      </c>
      <c r="B22" s="3" t="s">
        <v>25</v>
      </c>
      <c r="C22" s="3">
        <v>149849</v>
      </c>
      <c r="D22" s="3">
        <v>149933</v>
      </c>
      <c r="E22" s="4">
        <f t="shared" si="0"/>
        <v>84</v>
      </c>
      <c r="F22" s="6">
        <v>2971</v>
      </c>
      <c r="G22" s="7">
        <f t="shared" si="1"/>
        <v>249564</v>
      </c>
      <c r="H22" s="4">
        <v>25000</v>
      </c>
      <c r="I22" s="5">
        <f t="shared" si="2"/>
        <v>274564</v>
      </c>
    </row>
    <row r="23" spans="1:9" x14ac:dyDescent="0.45">
      <c r="A23" s="4">
        <v>22</v>
      </c>
      <c r="B23" s="3" t="s">
        <v>26</v>
      </c>
      <c r="C23" s="3">
        <v>26126</v>
      </c>
      <c r="D23" s="3">
        <v>26146</v>
      </c>
      <c r="E23" s="4">
        <f t="shared" si="0"/>
        <v>20</v>
      </c>
      <c r="F23" s="6">
        <v>2971</v>
      </c>
      <c r="G23" s="7">
        <f t="shared" si="1"/>
        <v>59420</v>
      </c>
      <c r="H23" s="4">
        <v>25000</v>
      </c>
      <c r="I23" s="5">
        <f t="shared" si="2"/>
        <v>84420</v>
      </c>
    </row>
    <row r="24" spans="1:9" x14ac:dyDescent="0.45">
      <c r="A24" s="4">
        <v>23</v>
      </c>
      <c r="B24" s="3" t="s">
        <v>27</v>
      </c>
      <c r="C24" s="3">
        <v>17576</v>
      </c>
      <c r="D24" s="3">
        <v>17576</v>
      </c>
      <c r="E24" s="4">
        <f t="shared" si="0"/>
        <v>0</v>
      </c>
      <c r="F24" s="6">
        <v>2971</v>
      </c>
      <c r="G24" s="7">
        <f t="shared" si="1"/>
        <v>0</v>
      </c>
      <c r="H24" s="4">
        <v>25000</v>
      </c>
      <c r="I24" s="5">
        <f t="shared" si="2"/>
        <v>25000</v>
      </c>
    </row>
    <row r="25" spans="1:9" x14ac:dyDescent="0.45">
      <c r="A25" s="4">
        <v>24</v>
      </c>
      <c r="B25" s="3" t="s">
        <v>28</v>
      </c>
      <c r="C25" s="3">
        <v>12119</v>
      </c>
      <c r="D25" s="3">
        <v>12119</v>
      </c>
      <c r="E25" s="4">
        <f t="shared" si="0"/>
        <v>0</v>
      </c>
      <c r="F25" s="6">
        <v>2971</v>
      </c>
      <c r="G25" s="7">
        <f t="shared" si="1"/>
        <v>0</v>
      </c>
      <c r="H25" s="4">
        <v>25000</v>
      </c>
      <c r="I25" s="5">
        <f t="shared" si="2"/>
        <v>25000</v>
      </c>
    </row>
    <row r="26" spans="1:9" x14ac:dyDescent="0.45">
      <c r="A26" s="4">
        <v>25</v>
      </c>
      <c r="B26" s="3" t="s">
        <v>61</v>
      </c>
      <c r="C26" s="3">
        <v>2565</v>
      </c>
      <c r="D26" s="3">
        <v>2566</v>
      </c>
      <c r="E26" s="4">
        <f t="shared" si="0"/>
        <v>1</v>
      </c>
      <c r="F26" s="6">
        <v>2971</v>
      </c>
      <c r="G26" s="7">
        <f t="shared" si="1"/>
        <v>2971</v>
      </c>
      <c r="H26" s="4">
        <v>25000</v>
      </c>
      <c r="I26" s="5">
        <f t="shared" si="2"/>
        <v>27971</v>
      </c>
    </row>
    <row r="27" spans="1:9" x14ac:dyDescent="0.45">
      <c r="A27" s="4">
        <v>26</v>
      </c>
      <c r="B27" s="3" t="s">
        <v>29</v>
      </c>
      <c r="C27" s="3">
        <v>16533</v>
      </c>
      <c r="D27" s="3">
        <v>16577</v>
      </c>
      <c r="E27" s="4">
        <f t="shared" si="0"/>
        <v>44</v>
      </c>
      <c r="F27" s="6">
        <v>2971</v>
      </c>
      <c r="G27" s="7">
        <f t="shared" si="1"/>
        <v>130724</v>
      </c>
      <c r="H27" s="4">
        <v>25000</v>
      </c>
      <c r="I27" s="5">
        <f t="shared" si="2"/>
        <v>155724</v>
      </c>
    </row>
    <row r="28" spans="1:9" x14ac:dyDescent="0.45">
      <c r="A28" s="4">
        <v>27</v>
      </c>
      <c r="B28" s="3" t="s">
        <v>74</v>
      </c>
      <c r="C28" s="3">
        <v>1604</v>
      </c>
      <c r="D28" s="3">
        <v>1604</v>
      </c>
      <c r="E28" s="4">
        <f t="shared" si="0"/>
        <v>0</v>
      </c>
      <c r="F28" s="6">
        <v>2971</v>
      </c>
      <c r="G28" s="7">
        <f t="shared" si="1"/>
        <v>0</v>
      </c>
      <c r="H28" s="4">
        <v>25000</v>
      </c>
      <c r="I28" s="5">
        <f t="shared" si="2"/>
        <v>25000</v>
      </c>
    </row>
    <row r="29" spans="1:9" x14ac:dyDescent="0.45">
      <c r="A29" s="4">
        <v>28</v>
      </c>
      <c r="B29" s="3" t="s">
        <v>30</v>
      </c>
      <c r="C29" s="3">
        <v>18651</v>
      </c>
      <c r="D29" s="3">
        <v>18848</v>
      </c>
      <c r="E29" s="4">
        <f t="shared" si="0"/>
        <v>197</v>
      </c>
      <c r="F29" s="6">
        <v>2971</v>
      </c>
      <c r="G29" s="7">
        <f t="shared" si="1"/>
        <v>585287</v>
      </c>
      <c r="H29" s="4">
        <v>25000</v>
      </c>
      <c r="I29" s="5">
        <f t="shared" si="2"/>
        <v>610287</v>
      </c>
    </row>
    <row r="30" spans="1:9" x14ac:dyDescent="0.45">
      <c r="A30" s="4">
        <v>29</v>
      </c>
      <c r="B30" s="3" t="s">
        <v>31</v>
      </c>
      <c r="C30" s="3">
        <v>14873</v>
      </c>
      <c r="D30" s="3">
        <v>14873</v>
      </c>
      <c r="E30" s="4">
        <f t="shared" si="0"/>
        <v>0</v>
      </c>
      <c r="F30" s="6">
        <v>2971</v>
      </c>
      <c r="G30" s="7">
        <f t="shared" si="1"/>
        <v>0</v>
      </c>
      <c r="H30" s="4">
        <v>25000</v>
      </c>
      <c r="I30" s="5">
        <f t="shared" si="2"/>
        <v>25000</v>
      </c>
    </row>
    <row r="31" spans="1:9" x14ac:dyDescent="0.45">
      <c r="A31" s="4">
        <v>30</v>
      </c>
      <c r="B31" s="3" t="s">
        <v>32</v>
      </c>
      <c r="C31" s="3">
        <v>510</v>
      </c>
      <c r="D31" s="3">
        <v>510</v>
      </c>
      <c r="E31" s="4">
        <f t="shared" si="0"/>
        <v>0</v>
      </c>
      <c r="F31" s="6">
        <v>2971</v>
      </c>
      <c r="G31" s="7">
        <f t="shared" si="1"/>
        <v>0</v>
      </c>
      <c r="H31" s="4">
        <v>25000</v>
      </c>
      <c r="I31" s="5">
        <f t="shared" si="2"/>
        <v>25000</v>
      </c>
    </row>
    <row r="32" spans="1:9" x14ac:dyDescent="0.45">
      <c r="A32" s="4">
        <v>31</v>
      </c>
      <c r="B32" s="3" t="s">
        <v>33</v>
      </c>
      <c r="C32" s="3">
        <v>182</v>
      </c>
      <c r="D32" s="3">
        <v>182</v>
      </c>
      <c r="E32" s="4">
        <f t="shared" si="0"/>
        <v>0</v>
      </c>
      <c r="F32" s="6">
        <v>2971</v>
      </c>
      <c r="G32" s="7">
        <f t="shared" si="1"/>
        <v>0</v>
      </c>
      <c r="H32" s="4">
        <v>25000</v>
      </c>
      <c r="I32" s="5">
        <f t="shared" si="2"/>
        <v>25000</v>
      </c>
    </row>
    <row r="33" spans="1:9" x14ac:dyDescent="0.45">
      <c r="A33" s="4">
        <v>32</v>
      </c>
      <c r="B33" s="3" t="s">
        <v>34</v>
      </c>
      <c r="C33" s="3">
        <v>5830</v>
      </c>
      <c r="D33" s="3">
        <v>5906</v>
      </c>
      <c r="E33" s="4">
        <f t="shared" si="0"/>
        <v>76</v>
      </c>
      <c r="F33" s="6">
        <v>2971</v>
      </c>
      <c r="G33" s="7">
        <f t="shared" si="1"/>
        <v>225796</v>
      </c>
      <c r="H33" s="4">
        <v>25000</v>
      </c>
      <c r="I33" s="5">
        <f t="shared" si="2"/>
        <v>250796</v>
      </c>
    </row>
    <row r="34" spans="1:9" x14ac:dyDescent="0.45">
      <c r="A34" s="4">
        <v>33</v>
      </c>
      <c r="B34" s="3" t="s">
        <v>35</v>
      </c>
      <c r="C34" s="3">
        <v>8809</v>
      </c>
      <c r="D34" s="3">
        <v>8907</v>
      </c>
      <c r="E34" s="4">
        <f t="shared" si="0"/>
        <v>98</v>
      </c>
      <c r="F34" s="6">
        <v>2971</v>
      </c>
      <c r="G34" s="7">
        <f t="shared" si="1"/>
        <v>291158</v>
      </c>
      <c r="H34" s="4">
        <v>25000</v>
      </c>
      <c r="I34" s="5">
        <f t="shared" si="2"/>
        <v>316158</v>
      </c>
    </row>
    <row r="35" spans="1:9" x14ac:dyDescent="0.45">
      <c r="A35" s="4">
        <v>34</v>
      </c>
      <c r="B35" s="3" t="s">
        <v>36</v>
      </c>
      <c r="C35" s="3">
        <v>15489</v>
      </c>
      <c r="D35" s="3">
        <v>15588</v>
      </c>
      <c r="E35" s="4">
        <f t="shared" si="0"/>
        <v>99</v>
      </c>
      <c r="F35" s="6">
        <v>2971</v>
      </c>
      <c r="G35" s="7">
        <f t="shared" si="1"/>
        <v>294129</v>
      </c>
      <c r="H35" s="4">
        <v>25000</v>
      </c>
      <c r="I35" s="5">
        <f t="shared" si="2"/>
        <v>319129</v>
      </c>
    </row>
    <row r="36" spans="1:9" x14ac:dyDescent="0.45">
      <c r="A36" s="4">
        <v>35</v>
      </c>
      <c r="B36" s="3" t="s">
        <v>37</v>
      </c>
      <c r="C36" s="3">
        <v>15589</v>
      </c>
      <c r="D36" s="3">
        <v>15688</v>
      </c>
      <c r="E36" s="4">
        <f t="shared" si="0"/>
        <v>99</v>
      </c>
      <c r="F36" s="6">
        <v>2971</v>
      </c>
      <c r="G36" s="7">
        <f t="shared" si="1"/>
        <v>294129</v>
      </c>
      <c r="H36" s="4">
        <v>25000</v>
      </c>
      <c r="I36" s="5">
        <f t="shared" si="2"/>
        <v>319129</v>
      </c>
    </row>
    <row r="37" spans="1:9" x14ac:dyDescent="0.45">
      <c r="A37" s="4">
        <v>36</v>
      </c>
      <c r="B37" s="3" t="s">
        <v>38</v>
      </c>
      <c r="C37" s="3">
        <v>28758</v>
      </c>
      <c r="D37" s="3">
        <v>28928</v>
      </c>
      <c r="E37" s="4">
        <f t="shared" si="0"/>
        <v>170</v>
      </c>
      <c r="F37" s="6">
        <v>2971</v>
      </c>
      <c r="G37" s="7">
        <f t="shared" si="1"/>
        <v>505070</v>
      </c>
      <c r="H37" s="4">
        <v>25000</v>
      </c>
      <c r="I37" s="5">
        <f t="shared" si="2"/>
        <v>530070</v>
      </c>
    </row>
    <row r="38" spans="1:9" x14ac:dyDescent="0.45">
      <c r="A38" s="4">
        <v>37</v>
      </c>
      <c r="B38" s="3" t="s">
        <v>39</v>
      </c>
      <c r="C38" s="3">
        <v>1157</v>
      </c>
      <c r="D38" s="3">
        <v>1205</v>
      </c>
      <c r="E38" s="4">
        <f t="shared" si="0"/>
        <v>48</v>
      </c>
      <c r="F38" s="6">
        <v>2971</v>
      </c>
      <c r="G38" s="7">
        <f t="shared" si="1"/>
        <v>142608</v>
      </c>
      <c r="H38" s="4">
        <v>25000</v>
      </c>
      <c r="I38" s="5">
        <f t="shared" si="2"/>
        <v>167608</v>
      </c>
    </row>
    <row r="39" spans="1:9" x14ac:dyDescent="0.45">
      <c r="A39" s="4">
        <v>38</v>
      </c>
      <c r="B39" s="3" t="s">
        <v>72</v>
      </c>
      <c r="C39" s="3">
        <v>952</v>
      </c>
      <c r="D39" s="3">
        <v>965</v>
      </c>
      <c r="E39" s="4">
        <f t="shared" si="0"/>
        <v>13</v>
      </c>
      <c r="F39" s="6">
        <v>2971</v>
      </c>
      <c r="G39" s="7">
        <f t="shared" si="1"/>
        <v>38623</v>
      </c>
      <c r="H39" s="4">
        <v>25000</v>
      </c>
      <c r="I39" s="5">
        <f t="shared" si="2"/>
        <v>63623</v>
      </c>
    </row>
    <row r="40" spans="1:9" x14ac:dyDescent="0.45">
      <c r="A40" s="4">
        <v>39</v>
      </c>
      <c r="B40" s="3" t="s">
        <v>40</v>
      </c>
      <c r="C40" s="3">
        <v>12228</v>
      </c>
      <c r="D40" s="3">
        <v>12228</v>
      </c>
      <c r="E40" s="4">
        <f t="shared" si="0"/>
        <v>0</v>
      </c>
      <c r="F40" s="6">
        <v>2971</v>
      </c>
      <c r="G40" s="7">
        <f t="shared" si="1"/>
        <v>0</v>
      </c>
      <c r="H40" s="4">
        <v>25000</v>
      </c>
      <c r="I40" s="5">
        <f t="shared" si="2"/>
        <v>25000</v>
      </c>
    </row>
    <row r="41" spans="1:9" x14ac:dyDescent="0.45">
      <c r="A41" s="4">
        <v>40</v>
      </c>
      <c r="B41" s="3" t="s">
        <v>41</v>
      </c>
      <c r="C41" s="3">
        <v>3451</v>
      </c>
      <c r="D41" s="3">
        <v>3451</v>
      </c>
      <c r="E41" s="4">
        <f t="shared" si="0"/>
        <v>0</v>
      </c>
      <c r="F41" s="6">
        <v>2971</v>
      </c>
      <c r="G41" s="7">
        <f t="shared" si="1"/>
        <v>0</v>
      </c>
      <c r="H41" s="4">
        <v>25000</v>
      </c>
      <c r="I41" s="5">
        <f t="shared" si="2"/>
        <v>25000</v>
      </c>
    </row>
    <row r="42" spans="1:9" x14ac:dyDescent="0.45">
      <c r="A42" s="4">
        <v>41</v>
      </c>
      <c r="B42" s="3" t="s">
        <v>42</v>
      </c>
      <c r="C42" s="3">
        <v>8235</v>
      </c>
      <c r="D42" s="3">
        <v>8304</v>
      </c>
      <c r="E42" s="4">
        <f t="shared" si="0"/>
        <v>69</v>
      </c>
      <c r="F42" s="6">
        <v>2971</v>
      </c>
      <c r="G42" s="7">
        <f t="shared" si="1"/>
        <v>204999</v>
      </c>
      <c r="H42" s="4">
        <v>25000</v>
      </c>
      <c r="I42" s="5">
        <f t="shared" si="2"/>
        <v>229999</v>
      </c>
    </row>
    <row r="43" spans="1:9" x14ac:dyDescent="0.45">
      <c r="A43" s="4">
        <v>42</v>
      </c>
      <c r="B43" s="3" t="s">
        <v>43</v>
      </c>
      <c r="C43" s="3">
        <v>8152</v>
      </c>
      <c r="D43" s="3">
        <v>8246</v>
      </c>
      <c r="E43" s="4">
        <f t="shared" si="0"/>
        <v>94</v>
      </c>
      <c r="F43" s="6">
        <v>2971</v>
      </c>
      <c r="G43" s="7">
        <f t="shared" si="1"/>
        <v>279274</v>
      </c>
      <c r="H43" s="4">
        <v>25000</v>
      </c>
      <c r="I43" s="5">
        <f t="shared" si="2"/>
        <v>304274</v>
      </c>
    </row>
    <row r="44" spans="1:9" x14ac:dyDescent="0.45">
      <c r="A44" s="4">
        <v>43</v>
      </c>
      <c r="B44" s="3" t="s">
        <v>44</v>
      </c>
      <c r="C44" s="3">
        <v>6678</v>
      </c>
      <c r="D44" s="3">
        <v>6814</v>
      </c>
      <c r="E44" s="4">
        <f t="shared" si="0"/>
        <v>136</v>
      </c>
      <c r="F44" s="6">
        <v>2971</v>
      </c>
      <c r="G44" s="7">
        <f t="shared" si="1"/>
        <v>404056</v>
      </c>
      <c r="H44" s="4">
        <v>25000</v>
      </c>
      <c r="I44" s="5">
        <f t="shared" si="2"/>
        <v>429056</v>
      </c>
    </row>
    <row r="45" spans="1:9" x14ac:dyDescent="0.45">
      <c r="A45" s="4">
        <v>44</v>
      </c>
      <c r="B45" s="3" t="s">
        <v>69</v>
      </c>
      <c r="C45" s="3">
        <v>4776</v>
      </c>
      <c r="D45" s="3">
        <v>4876</v>
      </c>
      <c r="E45" s="4">
        <f t="shared" si="0"/>
        <v>100</v>
      </c>
      <c r="F45" s="6">
        <v>2971</v>
      </c>
      <c r="G45" s="7">
        <f t="shared" si="1"/>
        <v>297100</v>
      </c>
      <c r="H45" s="4">
        <v>25000</v>
      </c>
      <c r="I45" s="5">
        <f t="shared" si="2"/>
        <v>322100</v>
      </c>
    </row>
    <row r="46" spans="1:9" x14ac:dyDescent="0.45">
      <c r="A46" s="4">
        <v>45</v>
      </c>
      <c r="B46" s="3" t="s">
        <v>45</v>
      </c>
      <c r="C46" s="3">
        <v>224</v>
      </c>
      <c r="D46" s="3">
        <v>224</v>
      </c>
      <c r="E46" s="4">
        <f t="shared" si="0"/>
        <v>0</v>
      </c>
      <c r="F46" s="6">
        <v>2971</v>
      </c>
      <c r="G46" s="7">
        <f t="shared" si="1"/>
        <v>0</v>
      </c>
      <c r="H46" s="4">
        <v>25000</v>
      </c>
      <c r="I46" s="5">
        <f t="shared" si="2"/>
        <v>25000</v>
      </c>
    </row>
    <row r="47" spans="1:9" x14ac:dyDescent="0.45">
      <c r="A47" s="4">
        <v>46</v>
      </c>
      <c r="B47" s="3" t="s">
        <v>46</v>
      </c>
      <c r="C47" s="3">
        <v>9039</v>
      </c>
      <c r="D47" s="3">
        <v>9039</v>
      </c>
      <c r="E47" s="4">
        <f t="shared" si="0"/>
        <v>0</v>
      </c>
      <c r="F47" s="6">
        <v>2971</v>
      </c>
      <c r="G47" s="7">
        <f t="shared" si="1"/>
        <v>0</v>
      </c>
      <c r="H47" s="4">
        <v>25000</v>
      </c>
      <c r="I47" s="5">
        <f t="shared" si="2"/>
        <v>25000</v>
      </c>
    </row>
    <row r="48" spans="1:9" x14ac:dyDescent="0.45">
      <c r="A48" s="4">
        <v>47</v>
      </c>
      <c r="B48" s="3" t="s">
        <v>65</v>
      </c>
      <c r="C48" s="3">
        <v>636</v>
      </c>
      <c r="D48" s="3">
        <v>636</v>
      </c>
      <c r="E48" s="4">
        <f t="shared" si="0"/>
        <v>0</v>
      </c>
      <c r="F48" s="6">
        <v>2971</v>
      </c>
      <c r="G48" s="7">
        <f t="shared" si="1"/>
        <v>0</v>
      </c>
      <c r="H48" s="4">
        <v>25000</v>
      </c>
      <c r="I48" s="5">
        <f t="shared" si="2"/>
        <v>25000</v>
      </c>
    </row>
    <row r="49" spans="1:9" x14ac:dyDescent="0.45">
      <c r="A49" s="4">
        <v>48</v>
      </c>
      <c r="B49" s="3" t="s">
        <v>47</v>
      </c>
      <c r="C49" s="3">
        <v>4785</v>
      </c>
      <c r="D49" s="3">
        <v>4785</v>
      </c>
      <c r="E49" s="4">
        <f t="shared" si="0"/>
        <v>0</v>
      </c>
      <c r="F49" s="6">
        <v>2971</v>
      </c>
      <c r="G49" s="7">
        <f t="shared" si="1"/>
        <v>0</v>
      </c>
      <c r="H49" s="4">
        <v>25000</v>
      </c>
      <c r="I49" s="5">
        <f t="shared" si="2"/>
        <v>25000</v>
      </c>
    </row>
    <row r="50" spans="1:9" x14ac:dyDescent="0.45">
      <c r="A50" s="4">
        <v>49</v>
      </c>
      <c r="B50" s="3" t="s">
        <v>77</v>
      </c>
      <c r="C50" s="3">
        <v>28461</v>
      </c>
      <c r="D50" s="9">
        <v>28474</v>
      </c>
      <c r="E50" s="4">
        <f t="shared" si="0"/>
        <v>13</v>
      </c>
      <c r="F50" s="6">
        <v>2971</v>
      </c>
      <c r="G50" s="7">
        <f t="shared" si="1"/>
        <v>38623</v>
      </c>
      <c r="H50" s="4">
        <v>25000</v>
      </c>
      <c r="I50" s="5">
        <f t="shared" si="2"/>
        <v>63623</v>
      </c>
    </row>
    <row r="51" spans="1:9" x14ac:dyDescent="0.45">
      <c r="A51" s="4">
        <v>50</v>
      </c>
      <c r="B51" s="3" t="s">
        <v>75</v>
      </c>
      <c r="C51" s="3">
        <v>9989</v>
      </c>
      <c r="D51" s="3">
        <v>9989</v>
      </c>
      <c r="E51" s="4">
        <f t="shared" si="0"/>
        <v>0</v>
      </c>
      <c r="F51" s="6">
        <v>2971</v>
      </c>
      <c r="G51" s="7">
        <f t="shared" si="1"/>
        <v>0</v>
      </c>
      <c r="H51" s="4">
        <v>25000</v>
      </c>
      <c r="I51" s="5">
        <f t="shared" si="2"/>
        <v>25000</v>
      </c>
    </row>
    <row r="52" spans="1:9" x14ac:dyDescent="0.45">
      <c r="A52" s="4">
        <v>51</v>
      </c>
      <c r="B52" s="3" t="s">
        <v>76</v>
      </c>
      <c r="C52" s="3">
        <v>339</v>
      </c>
      <c r="D52" s="3">
        <v>339</v>
      </c>
      <c r="E52" s="4">
        <f t="shared" si="0"/>
        <v>0</v>
      </c>
      <c r="F52" s="6">
        <v>2971</v>
      </c>
      <c r="G52" s="7">
        <f t="shared" si="1"/>
        <v>0</v>
      </c>
      <c r="H52" s="4">
        <v>25000</v>
      </c>
      <c r="I52" s="5">
        <f t="shared" si="2"/>
        <v>25000</v>
      </c>
    </row>
    <row r="53" spans="1:9" x14ac:dyDescent="0.45">
      <c r="A53" s="4">
        <v>52</v>
      </c>
      <c r="B53" s="3" t="s">
        <v>70</v>
      </c>
      <c r="C53" s="3">
        <v>9005</v>
      </c>
      <c r="D53" s="3">
        <v>9005</v>
      </c>
      <c r="E53" s="4">
        <f t="shared" si="0"/>
        <v>0</v>
      </c>
      <c r="F53" s="6">
        <v>2971</v>
      </c>
      <c r="G53" s="7">
        <f t="shared" si="1"/>
        <v>0</v>
      </c>
      <c r="H53" s="4">
        <v>25000</v>
      </c>
      <c r="I53" s="5">
        <f t="shared" si="2"/>
        <v>25000</v>
      </c>
    </row>
    <row r="54" spans="1:9" x14ac:dyDescent="0.45">
      <c r="A54" s="4">
        <v>53</v>
      </c>
      <c r="B54" s="3" t="s">
        <v>48</v>
      </c>
      <c r="C54" s="3">
        <v>109097</v>
      </c>
      <c r="D54" s="3">
        <v>109173</v>
      </c>
      <c r="E54" s="4">
        <f t="shared" si="0"/>
        <v>76</v>
      </c>
      <c r="F54" s="6">
        <v>2971</v>
      </c>
      <c r="G54" s="7">
        <f t="shared" si="1"/>
        <v>225796</v>
      </c>
      <c r="H54" s="4">
        <v>25000</v>
      </c>
      <c r="I54" s="5">
        <f t="shared" si="2"/>
        <v>250796</v>
      </c>
    </row>
    <row r="55" spans="1:9" x14ac:dyDescent="0.45">
      <c r="A55" s="4">
        <v>54</v>
      </c>
      <c r="B55" s="3" t="s">
        <v>49</v>
      </c>
      <c r="C55" s="3">
        <v>33610</v>
      </c>
      <c r="D55" s="3">
        <v>33660</v>
      </c>
      <c r="E55" s="4">
        <f t="shared" si="0"/>
        <v>50</v>
      </c>
      <c r="F55" s="6">
        <v>2971</v>
      </c>
      <c r="G55" s="7">
        <f t="shared" si="1"/>
        <v>148550</v>
      </c>
      <c r="H55" s="4">
        <v>25000</v>
      </c>
      <c r="I55" s="5">
        <f t="shared" si="2"/>
        <v>173550</v>
      </c>
    </row>
    <row r="56" spans="1:9" x14ac:dyDescent="0.45">
      <c r="A56" s="4">
        <v>55</v>
      </c>
      <c r="B56" s="3" t="s">
        <v>50</v>
      </c>
      <c r="C56" s="3">
        <v>11158</v>
      </c>
      <c r="D56" s="3">
        <v>11158</v>
      </c>
      <c r="E56" s="4">
        <f t="shared" si="0"/>
        <v>0</v>
      </c>
      <c r="F56" s="6">
        <v>2971</v>
      </c>
      <c r="G56" s="7">
        <f t="shared" si="1"/>
        <v>0</v>
      </c>
      <c r="H56" s="4">
        <v>25000</v>
      </c>
      <c r="I56" s="5">
        <f t="shared" si="2"/>
        <v>25000</v>
      </c>
    </row>
    <row r="57" spans="1:9" x14ac:dyDescent="0.45">
      <c r="A57" s="4">
        <v>56</v>
      </c>
      <c r="B57" s="3" t="s">
        <v>51</v>
      </c>
      <c r="C57" s="3">
        <v>18983</v>
      </c>
      <c r="D57" s="3">
        <f>18953+30+20</f>
        <v>19003</v>
      </c>
      <c r="E57" s="4">
        <f t="shared" si="0"/>
        <v>20</v>
      </c>
      <c r="F57" s="6">
        <v>2971</v>
      </c>
      <c r="G57" s="7">
        <f t="shared" si="1"/>
        <v>59420</v>
      </c>
      <c r="H57" s="4">
        <v>25000</v>
      </c>
      <c r="I57" s="5">
        <f t="shared" si="2"/>
        <v>84420</v>
      </c>
    </row>
    <row r="58" spans="1:9" x14ac:dyDescent="0.45">
      <c r="A58" s="4">
        <v>57</v>
      </c>
      <c r="B58" s="3" t="s">
        <v>52</v>
      </c>
      <c r="C58" s="3">
        <v>8168</v>
      </c>
      <c r="D58" s="3">
        <f>8168+15</f>
        <v>8183</v>
      </c>
      <c r="E58" s="4">
        <f t="shared" si="0"/>
        <v>15</v>
      </c>
      <c r="F58" s="6">
        <v>2971</v>
      </c>
      <c r="G58" s="7">
        <f t="shared" si="1"/>
        <v>44565</v>
      </c>
      <c r="H58" s="4">
        <v>25000</v>
      </c>
      <c r="I58" s="5">
        <f t="shared" si="2"/>
        <v>69565</v>
      </c>
    </row>
    <row r="59" spans="1:9" x14ac:dyDescent="0.45">
      <c r="A59" s="4">
        <v>58</v>
      </c>
      <c r="B59" s="3" t="s">
        <v>71</v>
      </c>
      <c r="C59" s="3">
        <v>14891</v>
      </c>
      <c r="D59" s="3">
        <v>15059</v>
      </c>
      <c r="E59" s="4">
        <f t="shared" si="0"/>
        <v>168</v>
      </c>
      <c r="F59" s="6">
        <v>2971</v>
      </c>
      <c r="G59" s="7">
        <f t="shared" si="1"/>
        <v>499128</v>
      </c>
      <c r="H59" s="4">
        <v>25000</v>
      </c>
      <c r="I59" s="5">
        <f t="shared" si="2"/>
        <v>524128</v>
      </c>
    </row>
    <row r="60" spans="1:9" x14ac:dyDescent="0.45">
      <c r="A60" s="4">
        <v>59</v>
      </c>
      <c r="B60" s="3" t="s">
        <v>53</v>
      </c>
      <c r="C60" s="3">
        <v>9986</v>
      </c>
      <c r="D60" s="3">
        <v>9986</v>
      </c>
      <c r="E60" s="4">
        <f t="shared" si="0"/>
        <v>0</v>
      </c>
      <c r="F60" s="6">
        <v>2971</v>
      </c>
      <c r="G60" s="7">
        <f t="shared" si="1"/>
        <v>0</v>
      </c>
      <c r="H60" s="4">
        <v>25000</v>
      </c>
      <c r="I60" s="5">
        <f t="shared" si="2"/>
        <v>25000</v>
      </c>
    </row>
    <row r="61" spans="1:9" x14ac:dyDescent="0.45">
      <c r="A61" s="4">
        <v>60</v>
      </c>
      <c r="B61" s="3" t="s">
        <v>54</v>
      </c>
      <c r="C61" s="3">
        <v>8092</v>
      </c>
      <c r="D61" s="3">
        <f>8092+20</f>
        <v>8112</v>
      </c>
      <c r="E61" s="4">
        <f t="shared" si="0"/>
        <v>20</v>
      </c>
      <c r="F61" s="6">
        <v>2971</v>
      </c>
      <c r="G61" s="7">
        <f t="shared" si="1"/>
        <v>59420</v>
      </c>
      <c r="H61" s="4">
        <v>25000</v>
      </c>
      <c r="I61" s="5">
        <f t="shared" si="2"/>
        <v>84420</v>
      </c>
    </row>
    <row r="62" spans="1:9" x14ac:dyDescent="0.45">
      <c r="A62" s="4">
        <v>61</v>
      </c>
      <c r="B62" s="3" t="s">
        <v>55</v>
      </c>
      <c r="C62" s="3">
        <v>11057</v>
      </c>
      <c r="D62" s="3">
        <v>11058</v>
      </c>
      <c r="E62" s="4">
        <f t="shared" si="0"/>
        <v>1</v>
      </c>
      <c r="F62" s="6">
        <v>2971</v>
      </c>
      <c r="G62" s="7">
        <f t="shared" si="1"/>
        <v>2971</v>
      </c>
      <c r="H62" s="4">
        <v>25000</v>
      </c>
      <c r="I62" s="5">
        <f t="shared" si="2"/>
        <v>27971</v>
      </c>
    </row>
    <row r="63" spans="1:9" x14ac:dyDescent="0.45">
      <c r="A63" s="4">
        <v>62</v>
      </c>
      <c r="B63" s="3" t="s">
        <v>56</v>
      </c>
      <c r="C63" s="3">
        <v>28723</v>
      </c>
      <c r="D63" s="3">
        <v>29130</v>
      </c>
      <c r="E63" s="4">
        <f t="shared" si="0"/>
        <v>407</v>
      </c>
      <c r="F63" s="6">
        <v>2971</v>
      </c>
      <c r="G63" s="7">
        <f t="shared" si="1"/>
        <v>1209197</v>
      </c>
      <c r="H63" s="4">
        <v>25000</v>
      </c>
      <c r="I63" s="5">
        <f t="shared" si="2"/>
        <v>1234197</v>
      </c>
    </row>
    <row r="64" spans="1:9" x14ac:dyDescent="0.45">
      <c r="A64" s="4">
        <v>63</v>
      </c>
      <c r="B64" s="3" t="s">
        <v>57</v>
      </c>
      <c r="C64" s="3">
        <v>36062</v>
      </c>
      <c r="D64" s="3">
        <v>36264</v>
      </c>
      <c r="E64" s="4">
        <f t="shared" si="0"/>
        <v>202</v>
      </c>
      <c r="F64" s="6">
        <v>2971</v>
      </c>
      <c r="G64" s="7">
        <f t="shared" si="1"/>
        <v>600142</v>
      </c>
      <c r="H64" s="4">
        <v>25000</v>
      </c>
      <c r="I64" s="5">
        <f t="shared" si="2"/>
        <v>625142</v>
      </c>
    </row>
    <row r="65" spans="1:9" x14ac:dyDescent="0.45">
      <c r="A65" s="4">
        <v>64</v>
      </c>
      <c r="B65" s="3" t="s">
        <v>58</v>
      </c>
      <c r="C65" s="3">
        <v>1490</v>
      </c>
      <c r="D65" s="3">
        <v>1630</v>
      </c>
      <c r="E65" s="4">
        <f t="shared" si="0"/>
        <v>140</v>
      </c>
      <c r="F65" s="6">
        <v>2971</v>
      </c>
      <c r="G65" s="7">
        <f t="shared" si="1"/>
        <v>415940</v>
      </c>
      <c r="H65" s="4">
        <v>25000</v>
      </c>
      <c r="I65" s="5">
        <f t="shared" si="2"/>
        <v>440940</v>
      </c>
    </row>
    <row r="66" spans="1:9" x14ac:dyDescent="0.45">
      <c r="A66" s="4">
        <v>65</v>
      </c>
      <c r="B66" s="3" t="s">
        <v>59</v>
      </c>
      <c r="C66" s="3">
        <v>9480</v>
      </c>
      <c r="D66" s="3">
        <v>9480</v>
      </c>
      <c r="E66" s="4">
        <f t="shared" si="0"/>
        <v>0</v>
      </c>
      <c r="F66" s="6">
        <v>2971</v>
      </c>
      <c r="G66" s="7">
        <f t="shared" si="1"/>
        <v>0</v>
      </c>
      <c r="H66" s="4">
        <v>25000</v>
      </c>
      <c r="I66" s="5">
        <f t="shared" si="2"/>
        <v>25000</v>
      </c>
    </row>
    <row r="67" spans="1:9" x14ac:dyDescent="0.45">
      <c r="A67" s="4">
        <v>66</v>
      </c>
      <c r="B67" s="3" t="s">
        <v>60</v>
      </c>
      <c r="C67">
        <v>0</v>
      </c>
      <c r="D67" s="3"/>
      <c r="E67" s="4">
        <f t="shared" ref="E67:E71" si="3">D67-C67</f>
        <v>0</v>
      </c>
      <c r="F67" s="6">
        <v>2971</v>
      </c>
      <c r="G67" s="7">
        <f t="shared" ref="G67:G71" si="4">E67*F67</f>
        <v>0</v>
      </c>
      <c r="H67" s="4">
        <v>25000</v>
      </c>
      <c r="I67" s="5">
        <f t="shared" ref="I67:I71" si="5">G67+H67</f>
        <v>25000</v>
      </c>
    </row>
    <row r="68" spans="1:9" x14ac:dyDescent="0.45">
      <c r="A68" s="4">
        <v>67</v>
      </c>
      <c r="B68" s="3" t="s">
        <v>61</v>
      </c>
      <c r="C68">
        <v>1648</v>
      </c>
      <c r="D68" s="3">
        <v>1648</v>
      </c>
      <c r="E68" s="4">
        <f t="shared" si="3"/>
        <v>0</v>
      </c>
      <c r="F68" s="6">
        <v>2971</v>
      </c>
      <c r="G68" s="7">
        <f t="shared" si="4"/>
        <v>0</v>
      </c>
      <c r="H68" s="4">
        <v>25000</v>
      </c>
      <c r="I68" s="5">
        <f t="shared" si="5"/>
        <v>25000</v>
      </c>
    </row>
    <row r="69" spans="1:9" x14ac:dyDescent="0.45">
      <c r="A69" s="4">
        <v>68</v>
      </c>
      <c r="B69" s="3" t="s">
        <v>62</v>
      </c>
      <c r="C69">
        <v>8574</v>
      </c>
      <c r="D69" s="3">
        <v>8574</v>
      </c>
      <c r="E69" s="4">
        <f t="shared" si="3"/>
        <v>0</v>
      </c>
      <c r="F69" s="6">
        <v>2971</v>
      </c>
      <c r="G69" s="7">
        <f t="shared" si="4"/>
        <v>0</v>
      </c>
      <c r="H69" s="4">
        <v>25000</v>
      </c>
      <c r="I69" s="5">
        <f t="shared" si="5"/>
        <v>25000</v>
      </c>
    </row>
    <row r="70" spans="1:9" x14ac:dyDescent="0.45">
      <c r="A70" s="4">
        <v>69</v>
      </c>
      <c r="B70" s="3" t="s">
        <v>63</v>
      </c>
      <c r="C70">
        <v>20612</v>
      </c>
      <c r="D70" s="3">
        <v>20854</v>
      </c>
      <c r="E70" s="4">
        <f t="shared" si="3"/>
        <v>242</v>
      </c>
      <c r="F70" s="6">
        <v>2971</v>
      </c>
      <c r="G70" s="7">
        <f t="shared" si="4"/>
        <v>718982</v>
      </c>
      <c r="H70" s="4">
        <v>25000</v>
      </c>
      <c r="I70" s="5">
        <f t="shared" si="5"/>
        <v>743982</v>
      </c>
    </row>
    <row r="71" spans="1:9" x14ac:dyDescent="0.45">
      <c r="A71" s="4">
        <v>70</v>
      </c>
      <c r="B71" t="s">
        <v>66</v>
      </c>
      <c r="C71" s="10">
        <v>3595</v>
      </c>
      <c r="D71" s="3">
        <v>3595</v>
      </c>
      <c r="E71" s="4">
        <f t="shared" si="3"/>
        <v>0</v>
      </c>
      <c r="F71" s="6">
        <v>2971</v>
      </c>
      <c r="G71" s="7">
        <f t="shared" si="4"/>
        <v>0</v>
      </c>
      <c r="H71" s="4">
        <v>25000</v>
      </c>
      <c r="I71" s="5">
        <f t="shared" si="5"/>
        <v>25000</v>
      </c>
    </row>
    <row r="72" spans="1:9" x14ac:dyDescent="0.45">
      <c r="G72" s="11"/>
      <c r="I7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Lộc Lê Tiến</dc:creator>
  <cp:lastModifiedBy>Lộc Lê Tiến</cp:lastModifiedBy>
  <dcterms:created xsi:type="dcterms:W3CDTF">2023-12-20T12:42:31Z</dcterms:created>
  <dcterms:modified xsi:type="dcterms:W3CDTF">2026-09-19T04:10:07Z</dcterms:modified>
</cp:coreProperties>
</file>